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trollins\Personal\Gantt\"/>
    </mc:Choice>
  </mc:AlternateContent>
  <bookViews>
    <workbookView xWindow="0" yWindow="0" windowWidth="28800" windowHeight="12435"/>
  </bookViews>
  <sheets>
    <sheet name="Log" sheetId="1" r:id="rId1"/>
    <sheet name="Reference" sheetId="2" r:id="rId2"/>
  </sheets>
  <definedNames>
    <definedName name="date_from_col_num">DATE(year, 1, 1) - WEEKDAY(DATE(year, 1,1),2) + (COLUMN()-week_offset-1) * 7+1</definedName>
    <definedName name="date_next_from_col_num">DATE(year, 1, 1) - WEEKDAY(DATE(year, 1,1),2) + (COLUMN()-week_offset) * 7+1</definedName>
    <definedName name="end_date_col">Reference!$B$15</definedName>
    <definedName name="gantt_alerts">tblGnattAlert[Week]</definedName>
    <definedName name="month_name">CHOOSE(MONTH(date_from_col_num),"Jan","Feb","Mar","Apr","May","Jun","Jul","Aug","Sep","Oct","Nov","Dec")</definedName>
    <definedName name="month_week_from_col_num">INT((DAY(date_from_col_num)+6)/7)</definedName>
    <definedName name="month_week_next_from_col_num">INT((DAY(date_next_from_col_num)+6)/7)</definedName>
    <definedName name="next_month_name">CHOOSE(MONTH(date_next_from_col_num),"Jan","Feb","Mar","Apr","May","Jun","Jul","Aug","Sep","Oct","Nov","Dec")</definedName>
    <definedName name="prev_cell">!XFD1</definedName>
    <definedName name="prev_cell_2">!XFC1</definedName>
    <definedName name="prev_cell_3">!XFB1</definedName>
    <definedName name="prev_cell_4">!XFA1</definedName>
    <definedName name="_xlnm.Print_Titles" localSheetId="0">Log!$1:$8</definedName>
    <definedName name="responsibility_list">tblResponsibility[responsibility]</definedName>
    <definedName name="start_date_col">Reference!$B$14</definedName>
    <definedName name="status_col">Reference!$B$13</definedName>
    <definedName name="status_list">#REF!</definedName>
    <definedName name="task_number_col">Reference!$B$16</definedName>
    <definedName name="this_cell">!A1</definedName>
    <definedName name="this_week">WEEKNUM(today)</definedName>
    <definedName name="today">Reference!$C$32</definedName>
    <definedName name="type_list">#REF!</definedName>
    <definedName name="week_offset">Reference!$C$21</definedName>
    <definedName name="year">Reference!$C$33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2" l="1"/>
  <c r="H21" i="2"/>
  <c r="C32" i="2" l="1"/>
  <c r="J3" i="2" l="1"/>
  <c r="J6" i="2" l="1"/>
  <c r="K6" i="2" l="1"/>
  <c r="K5" i="2"/>
  <c r="J5" i="2"/>
  <c r="K4" i="2"/>
  <c r="J4" i="2"/>
  <c r="K3" i="2"/>
  <c r="C21" i="2"/>
  <c r="M7" i="1" l="1"/>
  <c r="Q7" i="1"/>
  <c r="U7" i="1"/>
  <c r="Y7" i="1"/>
  <c r="AC7" i="1"/>
  <c r="AG7" i="1"/>
  <c r="AK7" i="1"/>
  <c r="AO7" i="1"/>
  <c r="AS7" i="1"/>
  <c r="AW7" i="1"/>
  <c r="BA7" i="1"/>
  <c r="BE7" i="1"/>
  <c r="BI7" i="1"/>
  <c r="X7" i="1"/>
  <c r="AJ7" i="1"/>
  <c r="AV7" i="1"/>
  <c r="BH7" i="1"/>
  <c r="N7" i="1"/>
  <c r="R7" i="1"/>
  <c r="V7" i="1"/>
  <c r="Z7" i="1"/>
  <c r="AD7" i="1"/>
  <c r="AH7" i="1"/>
  <c r="AL7" i="1"/>
  <c r="AP7" i="1"/>
  <c r="AT7" i="1"/>
  <c r="AX7" i="1"/>
  <c r="BB7" i="1"/>
  <c r="BF7" i="1"/>
  <c r="BJ7" i="1"/>
  <c r="P7" i="1"/>
  <c r="AB7" i="1"/>
  <c r="AN7" i="1"/>
  <c r="AZ7" i="1"/>
  <c r="BL7" i="1"/>
  <c r="O7" i="1"/>
  <c r="S7" i="1"/>
  <c r="W7" i="1"/>
  <c r="AA7" i="1"/>
  <c r="AE7" i="1"/>
  <c r="AI7" i="1"/>
  <c r="AM7" i="1"/>
  <c r="AQ7" i="1"/>
  <c r="AU7" i="1"/>
  <c r="AY7" i="1"/>
  <c r="BC7" i="1"/>
  <c r="BG7" i="1"/>
  <c r="BK7" i="1"/>
  <c r="T7" i="1"/>
  <c r="AF7" i="1"/>
  <c r="AR7" i="1"/>
  <c r="BD7" i="1"/>
  <c r="L7" i="1"/>
  <c r="L6" i="1"/>
  <c r="M6" i="1" s="1"/>
  <c r="N6" i="1" s="1"/>
  <c r="O6" i="1" s="1"/>
  <c r="P6" i="1" s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C6" i="1" s="1"/>
  <c r="BD6" i="1" s="1"/>
  <c r="BE6" i="1" s="1"/>
  <c r="BF6" i="1" s="1"/>
  <c r="BG6" i="1" s="1"/>
  <c r="BH6" i="1" s="1"/>
  <c r="BI6" i="1" s="1"/>
  <c r="BJ6" i="1" s="1"/>
  <c r="BK6" i="1" s="1"/>
  <c r="BL6" i="1" s="1"/>
</calcChain>
</file>

<file path=xl/sharedStrings.xml><?xml version="1.0" encoding="utf-8"?>
<sst xmlns="http://schemas.openxmlformats.org/spreadsheetml/2006/main" count="149" uniqueCount="116">
  <si>
    <t>status</t>
  </si>
  <si>
    <t>In Process</t>
  </si>
  <si>
    <t>Complete</t>
  </si>
  <si>
    <t>Start Date</t>
  </si>
  <si>
    <t>Past Due</t>
  </si>
  <si>
    <t>responsibility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</si>
  <si>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</si>
  <si>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</si>
  <si>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</si>
  <si>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</si>
  <si>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</si>
  <si>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</si>
  <si>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</si>
  <si>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</si>
  <si>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</si>
  <si>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</si>
  <si>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</si>
  <si>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</si>
  <si>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</si>
  <si>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</si>
  <si>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</si>
  <si>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</si>
  <si>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</si>
  <si>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</si>
  <si>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</si>
  <si>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</si>
  <si>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</si>
  <si>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</si>
  <si>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</si>
  <si>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</si>
  <si>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</si>
  <si>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</si>
  <si>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</si>
  <si>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</si>
  <si>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</si>
  <si>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</si>
  <si>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</si>
  <si>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</si>
  <si>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</si>
  <si>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</si>
  <si>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</si>
  <si>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</si>
  <si>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</si>
  <si>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</si>
  <si>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</si>
  <si>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</si>
  <si>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</si>
  <si>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1</t>
  </si>
  <si>
    <t>2</t>
  </si>
  <si>
    <t>4</t>
  </si>
  <si>
    <t>5</t>
  </si>
  <si>
    <t>6</t>
  </si>
  <si>
    <t>7</t>
  </si>
  <si>
    <t>8</t>
  </si>
  <si>
    <t>9</t>
  </si>
  <si>
    <t>10</t>
  </si>
  <si>
    <t>11</t>
  </si>
  <si>
    <t>Lead</t>
  </si>
  <si>
    <t>Support</t>
  </si>
  <si>
    <t>Total</t>
  </si>
  <si>
    <t>Status</t>
  </si>
  <si>
    <t>Item</t>
  </si>
  <si>
    <t>Project</t>
  </si>
  <si>
    <t>Task Numbers</t>
  </si>
  <si>
    <t>53</t>
  </si>
  <si>
    <t>Inactive</t>
  </si>
  <si>
    <t>Project on time</t>
  </si>
  <si>
    <t>status changed to 'Past Due'</t>
  </si>
  <si>
    <t>status changed to 'Complete'</t>
  </si>
  <si>
    <t>status changed to 'Inactive'</t>
  </si>
  <si>
    <t>Project start date in the future</t>
  </si>
  <si>
    <t>Y</t>
  </si>
  <si>
    <t>Priority</t>
  </si>
  <si>
    <t>calculate column for Gnatt weeks</t>
  </si>
  <si>
    <t>Alpha Column of Gnatt chart Start</t>
  </si>
  <si>
    <t>Last Updated:</t>
  </si>
  <si>
    <t>Vantec Hitachi Transport System (USA), Inc.</t>
  </si>
  <si>
    <t>Gantt Chart</t>
  </si>
  <si>
    <t>Gantt chart rules</t>
  </si>
  <si>
    <t>Bullet Chart Information</t>
  </si>
  <si>
    <t>Calculations for gnatt chart</t>
  </si>
  <si>
    <t>Project end date &lt;= 1 weeks</t>
  </si>
  <si>
    <t>Category</t>
  </si>
  <si>
    <t>Due</t>
  </si>
  <si>
    <t>Project Tracker and Gantt Chart</t>
  </si>
  <si>
    <t>longname</t>
  </si>
  <si>
    <t>Owner</t>
  </si>
  <si>
    <t>Type1</t>
  </si>
  <si>
    <t>Type2</t>
  </si>
  <si>
    <t>L</t>
  </si>
  <si>
    <t>T1</t>
  </si>
  <si>
    <t>T2</t>
  </si>
  <si>
    <t>quick copy</t>
  </si>
  <si>
    <t>INDIRECT("tblLog[@["&amp;task_number_col&amp;"]:["&amp;task_number_col&amp;"]]")</t>
  </si>
  <si>
    <t>INDIRECT("tblLog[@["&amp;status_col&amp;"]:["&amp;status_col&amp;"]]")</t>
  </si>
  <si>
    <t>INDIRECT("tblLog[@["&amp;start_date_col&amp;"]:["&amp;start_date_col&amp;"]]")</t>
  </si>
  <si>
    <t>INDIRECT("tblLog[@["&amp;end_date_col&amp;"]:["&amp;end_date_col&amp;"]]")</t>
  </si>
  <si>
    <t>legend for gantt chart</t>
  </si>
  <si>
    <t>These Headers are REQUIRED
but you can change these to match headers on the Log (exactly)</t>
  </si>
  <si>
    <t>categories</t>
  </si>
  <si>
    <t>Dates</t>
  </si>
  <si>
    <t>Todays Date</t>
  </si>
  <si>
    <t>Year</t>
  </si>
  <si>
    <t>3</t>
  </si>
  <si>
    <t>Gnatt Chart Alerts</t>
  </si>
  <si>
    <t>Date</t>
  </si>
  <si>
    <t>Comment</t>
  </si>
  <si>
    <t>Week</t>
  </si>
  <si>
    <t>shut down</t>
  </si>
  <si>
    <t>Deadline</t>
  </si>
  <si>
    <t>Group</t>
  </si>
  <si>
    <t>Risk +</t>
  </si>
  <si>
    <t>Risk -</t>
  </si>
  <si>
    <t>status changed to 'Risk -'</t>
  </si>
  <si>
    <t>status changed to 'Risk +'</t>
  </si>
  <si>
    <t>Monday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</si>
</sst>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0" fillId="0" borderId="0"/>
  </cellStyleXfs>
  <cellXfs count="66">
    <xf numFmtId="0" fontId="0" fillId="0" borderId="0" xfId="0"/>
    <xf numFmtId="0" fontId="0" fillId="0" borderId="0" xfId="0" applyFill="1"/>
    <xf numFmtId="0" fontId="0" fillId="0" borderId="0" xfId="0" quotePrefix="1"/>
    <xf numFmtId="0" fontId="0" fillId="0" borderId="0" xfId="0" applyAlignment="1">
      <alignment wrapText="1"/>
    </xf>
    <xf numFmtId="0" fontId="4" fillId="0" borderId="0" xfId="0" applyFont="1"/>
    <xf numFmtId="0" fontId="0" fillId="0" borderId="0" xfId="0" applyFill="1" applyAlignment="1">
      <alignment horizontal="center"/>
    </xf>
    <xf numFmtId="0" fontId="5" fillId="0" borderId="0" xfId="0" applyFont="1"/>
    <xf numFmtId="0" fontId="0" fillId="0" borderId="0" xfId="0" applyBorder="1"/>
    <xf numFmtId="0" fontId="0" fillId="0" borderId="0" xfId="0" applyBorder="1" applyAlignment="1">
      <alignment horizontal="center"/>
    </xf>
    <xf numFmtId="0" fontId="6" fillId="0" borderId="0" xfId="0" applyNumberFormat="1" applyFont="1" applyFill="1" applyBorder="1"/>
    <xf numFmtId="0" fontId="6" fillId="0" borderId="0" xfId="0" applyNumberFormat="1" applyFont="1" applyFill="1"/>
    <xf numFmtId="0" fontId="0" fillId="0" borderId="1" xfId="0" applyBorder="1" applyAlignment="1">
      <alignment horizontal="center" vertical="top" wrapText="1"/>
    </xf>
    <xf numFmtId="0" fontId="4" fillId="0" borderId="0" xfId="0" applyFont="1" applyBorder="1"/>
    <xf numFmtId="0" fontId="0" fillId="0" borderId="0" xfId="0" applyBorder="1" applyAlignment="1">
      <alignment horizontal="center" vertical="top" wrapText="1"/>
    </xf>
    <xf numFmtId="0" fontId="0" fillId="0" borderId="0" xfId="0" applyBorder="1" applyAlignment="1">
      <alignment wrapText="1"/>
    </xf>
    <xf numFmtId="0" fontId="7" fillId="0" borderId="0" xfId="0" applyFont="1" applyBorder="1" applyAlignment="1">
      <alignment horizontal="right" vertical="center"/>
    </xf>
    <xf numFmtId="0" fontId="8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2" fontId="3" fillId="0" borderId="0" xfId="0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 applyFill="1" applyAlignment="1">
      <alignment horizontal="center"/>
    </xf>
    <xf numFmtId="14" fontId="3" fillId="0" borderId="1" xfId="0" applyNumberFormat="1" applyFont="1" applyFill="1" applyBorder="1" applyAlignment="1">
      <alignment horizontal="center"/>
    </xf>
    <xf numFmtId="0" fontId="0" fillId="0" borderId="0" xfId="0" applyFill="1" applyAlignment="1">
      <alignment wrapText="1"/>
    </xf>
    <xf numFmtId="0" fontId="3" fillId="0" borderId="0" xfId="0" applyFont="1" applyFill="1" applyBorder="1" applyAlignment="1">
      <alignment wrapText="1"/>
    </xf>
    <xf numFmtId="0" fontId="0" fillId="4" borderId="12" xfId="0" applyFill="1" applyBorder="1"/>
    <xf numFmtId="0" fontId="0" fillId="4" borderId="13" xfId="0" applyFill="1" applyBorder="1"/>
    <xf numFmtId="0" fontId="0" fillId="4" borderId="5" xfId="0" applyFill="1" applyBorder="1"/>
    <xf numFmtId="0" fontId="0" fillId="4" borderId="7" xfId="0" applyFill="1" applyBorder="1"/>
    <xf numFmtId="0" fontId="2" fillId="0" borderId="0" xfId="0" applyFont="1" applyBorder="1" applyAlignment="1"/>
    <xf numFmtId="0" fontId="0" fillId="4" borderId="7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4" borderId="0" xfId="0" applyFill="1" applyBorder="1"/>
    <xf numFmtId="14" fontId="0" fillId="0" borderId="0" xfId="0" applyNumberFormat="1"/>
    <xf numFmtId="0" fontId="6" fillId="0" borderId="0" xfId="0" applyFont="1"/>
    <xf numFmtId="0" fontId="3" fillId="0" borderId="0" xfId="0" applyFont="1"/>
    <xf numFmtId="0" fontId="3" fillId="0" borderId="0" xfId="0" applyFont="1" applyBorder="1"/>
    <xf numFmtId="0" fontId="11" fillId="0" borderId="0" xfId="0" applyFont="1" applyBorder="1" applyAlignment="1">
      <alignment horizontal="center"/>
    </xf>
    <xf numFmtId="0" fontId="12" fillId="0" borderId="0" xfId="0" applyFont="1" applyBorder="1" applyAlignment="1">
      <alignment horizontal="justify" textRotation="45" readingOrder="1"/>
    </xf>
    <xf numFmtId="0" fontId="2" fillId="5" borderId="0" xfId="0" applyFont="1" applyFill="1" applyAlignment="1">
      <alignment wrapText="1"/>
    </xf>
    <xf numFmtId="14" fontId="0" fillId="0" borderId="0" xfId="0" applyNumberFormat="1" applyFill="1"/>
    <xf numFmtId="0" fontId="0" fillId="0" borderId="0" xfId="0" applyNumberFormat="1"/>
    <xf numFmtId="14" fontId="0" fillId="0" borderId="1" xfId="0" applyNumberForma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wrapText="1"/>
    </xf>
    <xf numFmtId="0" fontId="3" fillId="0" borderId="1" xfId="0" applyFont="1" applyFill="1" applyBorder="1" applyAlignment="1">
      <alignment wrapText="1"/>
    </xf>
    <xf numFmtId="0" fontId="5" fillId="0" borderId="0" xfId="0" quotePrefix="1" applyFont="1"/>
    <xf numFmtId="0" fontId="4" fillId="0" borderId="0" xfId="0" applyFont="1" applyAlignment="1">
      <alignment horizontal="center"/>
    </xf>
    <xf numFmtId="0" fontId="6" fillId="0" borderId="0" xfId="0" applyNumberFormat="1" applyFont="1" applyBorder="1" applyAlignment="1">
      <alignment horizontal="center" vertical="top"/>
    </xf>
    <xf numFmtId="0" fontId="0" fillId="0" borderId="0" xfId="0" applyBorder="1" applyAlignment="1">
      <alignment horizontal="center" wrapText="1"/>
    </xf>
    <xf numFmtId="14" fontId="4" fillId="0" borderId="0" xfId="0" applyNumberFormat="1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3">
    <cellStyle name="Normal" xfId="0" builtinId="0"/>
    <cellStyle name="Normal 10" xfId="1"/>
    <cellStyle name="Normal 2" xfId="2"/>
  </cellStyles>
  <dxfs count="107"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medium">
          <color indexed="64"/>
        </top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outline="0">
        <left style="thin">
          <color auto="1"/>
        </left>
        <right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</font>
      <numFmt numFmtId="0" formatCode="General"/>
      <fill>
        <patternFill>
          <bgColor rgb="FFFFF2CC"/>
        </patternFill>
      </fill>
    </dxf>
    <dxf>
      <font>
        <b val="0"/>
        <i/>
        <color rgb="FF008700"/>
      </font>
    </dxf>
    <dxf>
      <font>
        <b val="0"/>
        <i/>
        <color theme="0" tint="-0.34998626667073579"/>
      </font>
    </dxf>
    <dxf>
      <font>
        <b/>
        <i val="0"/>
      </font>
      <fill>
        <patternFill>
          <bgColor rgb="FFFFB273"/>
        </patternFill>
      </fill>
    </dxf>
    <dxf>
      <font>
        <b/>
        <i val="0"/>
      </font>
      <fill>
        <patternFill>
          <bgColor rgb="FFFF7373"/>
        </patternFill>
      </fill>
    </dxf>
    <dxf>
      <font>
        <b/>
        <i val="0"/>
      </font>
      <fill>
        <patternFill>
          <bgColor rgb="FFFF7373"/>
        </patternFill>
      </fill>
    </dxf>
    <dxf>
      <font>
        <b/>
        <i val="0"/>
      </font>
      <fill>
        <patternFill>
          <bgColor rgb="FFFFB273"/>
        </patternFill>
      </fill>
    </dxf>
    <dxf>
      <font>
        <b val="0"/>
        <i/>
        <color theme="0" tint="-0.34998626667073579"/>
      </font>
    </dxf>
    <dxf>
      <numFmt numFmtId="164" formatCode="&quot;     &quot;#.##"/>
    </dxf>
    <dxf>
      <border>
        <left/>
        <right style="thin">
          <color auto="1"/>
        </right>
        <vertical/>
        <horizontal/>
      </border>
    </dxf>
    <dxf>
      <fill>
        <patternFill patternType="lightUp">
          <fgColor rgb="FFA60000"/>
        </patternFill>
      </fill>
    </dxf>
    <dxf>
      <border>
        <left/>
        <right style="thin">
          <color auto="1"/>
        </right>
      </border>
    </dxf>
    <dxf>
      <fill>
        <patternFill>
          <bgColor rgb="FFFFFF99"/>
        </patternFill>
      </fill>
    </dxf>
    <dxf>
      <fill>
        <patternFill>
          <bgColor rgb="FF67E667"/>
        </patternFill>
      </fill>
    </dxf>
    <dxf>
      <fill>
        <patternFill>
          <bgColor rgb="FFD9D9D9"/>
        </patternFill>
      </fill>
    </dxf>
    <dxf>
      <fill>
        <patternFill>
          <bgColor theme="0" tint="-0.14996795556505021"/>
        </patternFill>
      </fill>
    </dxf>
    <dxf>
      <fill>
        <patternFill patternType="lightUp">
          <fgColor rgb="FF67E667"/>
          <bgColor theme="0" tint="-0.14975432599871821"/>
        </patternFill>
      </fill>
    </dxf>
    <dxf>
      <fill>
        <patternFill>
          <bgColor rgb="FFFFB273"/>
        </patternFill>
      </fill>
    </dxf>
    <dxf>
      <fill>
        <patternFill>
          <bgColor rgb="FFFF7373"/>
        </patternFill>
      </fill>
    </dxf>
    <dxf>
      <border>
        <left style="thin">
          <color rgb="FFC00000"/>
        </left>
      </border>
    </dxf>
    <dxf>
      <font>
        <b/>
        <i val="0"/>
      </font>
      <fill>
        <patternFill>
          <bgColor rgb="FFFFB273"/>
        </patternFill>
      </fill>
    </dxf>
    <dxf>
      <fill>
        <patternFill>
          <bgColor rgb="FFFF7373"/>
        </patternFill>
      </fill>
    </dxf>
    <dxf>
      <font>
        <b/>
        <i val="0"/>
        <color rgb="FFA60000"/>
      </font>
    </dxf>
    <dxf>
      <font>
        <b/>
        <i val="0"/>
        <color auto="1"/>
      </font>
      <fill>
        <patternFill>
          <bgColor rgb="FFFFB273"/>
        </patternFill>
      </fill>
    </dxf>
    <dxf>
      <font>
        <b/>
        <i val="0"/>
      </font>
      <fill>
        <patternFill>
          <bgColor rgb="FFFF7373"/>
        </patternFill>
      </fill>
    </dxf>
    <dxf>
      <border>
        <right style="thin">
          <color auto="1"/>
        </right>
      </border>
    </dxf>
    <dxf>
      <border>
        <left style="thin">
          <color auto="1"/>
        </left>
        <right/>
      </border>
    </dxf>
    <dxf>
      <fill>
        <patternFill>
          <bgColor rgb="FFF0FAFA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</border>
    </dxf>
    <dxf>
      <font>
        <b/>
        <i val="0"/>
      </font>
    </dxf>
    <dxf>
      <border diagonalUp="0" diagonalDown="0">
        <left/>
        <right/>
        <top style="thin">
          <color auto="1"/>
        </top>
        <bottom style="thin">
          <color auto="1"/>
        </bottom>
        <vertical/>
        <horizontal style="dashed">
          <color auto="1"/>
        </horizontal>
      </border>
    </dxf>
  </dxfs>
  <tableStyles count="1" defaultTableStyle="KTM table" defaultPivotStyle="PivotStyleLight16">
    <tableStyle name="KTM table" pivot="0" count="7">
      <tableStyleElement type="wholeTable" dxfId="106"/>
      <tableStyleElement type="headerRow" dxfId="105"/>
      <tableStyleElement type="lastColumn" dxfId="104"/>
      <tableStyleElement type="firstRowStripe" dxfId="103"/>
      <tableStyleElement type="secondRowStripe" dxfId="102"/>
      <tableStyleElement type="firstHeaderCell" dxfId="101"/>
      <tableStyleElement type="lastHeaderCell" dxfId="100"/>
    </tableStyle>
  </tableStyles>
  <colors>
    <mruColors>
      <color rgb="FFFF7373"/>
      <color rgb="FFFFB273"/>
      <color rgb="FFFFFF99"/>
      <color rgb="FFFFF2CC"/>
      <color rgb="FFD9D9D9"/>
      <color rgb="FF67E667"/>
      <color rgb="FF002060"/>
      <color rgb="FFA60000"/>
      <color rgb="FF39E639"/>
      <color rgb="FFF0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29333333333333333"/>
          <c:w val="0.93888888888888888"/>
          <c:h val="0.106687664041994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Reference!$B$25</c:f>
              <c:strCache>
                <c:ptCount val="1"/>
                <c:pt idx="0">
                  <c:v>In Process</c:v>
                </c:pt>
              </c:strCache>
            </c:strRef>
          </c:tx>
          <c:spPr>
            <a:solidFill>
              <a:srgbClr val="67E667"/>
            </a:solidFill>
            <a:ln>
              <a:noFill/>
            </a:ln>
            <a:effectLst/>
          </c:spPr>
          <c:invertIfNegative val="0"/>
          <c:val>
            <c:numRef>
              <c:f>Reference!$C$25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Reference!$B$26</c:f>
              <c:strCache>
                <c:ptCount val="1"/>
                <c:pt idx="0">
                  <c:v>Due</c:v>
                </c:pt>
              </c:strCache>
            </c:strRef>
          </c:tx>
          <c:spPr>
            <a:solidFill>
              <a:srgbClr val="FFB273"/>
            </a:solidFill>
            <a:ln>
              <a:noFill/>
            </a:ln>
            <a:effectLst/>
          </c:spPr>
          <c:invertIfNegative val="0"/>
          <c:val>
            <c:numRef>
              <c:f>Reference!$C$26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2"/>
          <c:tx>
            <c:strRef>
              <c:f>Reference!$B$28</c:f>
              <c:strCache>
                <c:ptCount val="1"/>
                <c:pt idx="0">
                  <c:v>Complete</c:v>
                </c:pt>
              </c:strCache>
            </c:strRef>
          </c:tx>
          <c:spPr>
            <a:pattFill prst="wdUpDiag">
              <a:fgClr>
                <a:srgbClr val="39E639"/>
              </a:fgClr>
              <a:bgClr>
                <a:schemeClr val="bg1">
                  <a:lumMod val="85000"/>
                </a:schemeClr>
              </a:bgClr>
            </a:pattFill>
            <a:ln>
              <a:noFill/>
            </a:ln>
            <a:effectLst/>
          </c:spPr>
          <c:invertIfNegative val="0"/>
          <c:val>
            <c:numRef>
              <c:f>Reference!$C$28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3"/>
          <c:tx>
            <c:strRef>
              <c:f>Reference!$B$29</c:f>
              <c:strCache>
                <c:ptCount val="1"/>
                <c:pt idx="0">
                  <c:v>Past Due</c:v>
                </c:pt>
              </c:strCache>
            </c:strRef>
          </c:tx>
          <c:spPr>
            <a:solidFill>
              <a:srgbClr val="FF7373"/>
            </a:solidFill>
            <a:ln>
              <a:noFill/>
            </a:ln>
            <a:effectLst/>
          </c:spPr>
          <c:invertIfNegative val="0"/>
          <c:val>
            <c:numRef>
              <c:f>Reference!$C$29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895176"/>
        <c:axId val="93895568"/>
      </c:barChart>
      <c:catAx>
        <c:axId val="938951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895568"/>
        <c:crosses val="autoZero"/>
        <c:auto val="1"/>
        <c:lblAlgn val="ctr"/>
        <c:lblOffset val="100"/>
        <c:noMultiLvlLbl val="0"/>
      </c:catAx>
      <c:valAx>
        <c:axId val="93895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8951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13546772786469727"/>
          <c:w val="0.97315004374453196"/>
          <c:h val="0.277963458451188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9869168180060671"/>
          <c:y val="6.3825574434774601E-2"/>
          <c:w val="0.5715408829460954"/>
          <c:h val="0.7233291891145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Reference!$I$3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Ref>
              <c:f>Reference!$J$2:$K$2</c:f>
              <c:strCache>
                <c:ptCount val="2"/>
                <c:pt idx="0">
                  <c:v>Type1</c:v>
                </c:pt>
                <c:pt idx="1">
                  <c:v>Type2</c:v>
                </c:pt>
              </c:strCache>
            </c:strRef>
          </c:cat>
          <c:val>
            <c:numRef>
              <c:f>Reference!$J$3:$K$3</c:f>
              <c:numCache>
                <c:formatCode>General</c:formatCode>
                <c:ptCount val="2"/>
                <c:pt idx="0">
                  <c:v>7</c:v>
                </c:pt>
                <c:pt idx="1">
                  <c:v>2</c:v>
                </c:pt>
              </c:numCache>
            </c:numRef>
          </c:val>
        </c:ser>
        <c:ser>
          <c:idx val="1"/>
          <c:order val="1"/>
          <c:tx>
            <c:strRef>
              <c:f>Reference!$I$4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969696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969696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cat>
            <c:strRef>
              <c:f>Reference!$J$2:$K$2</c:f>
              <c:strCache>
                <c:ptCount val="2"/>
                <c:pt idx="0">
                  <c:v>Type1</c:v>
                </c:pt>
                <c:pt idx="1">
                  <c:v>Type2</c:v>
                </c:pt>
              </c:strCache>
            </c:strRef>
          </c:cat>
          <c:val>
            <c:numRef>
              <c:f>Reference!$J$4:$K$4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3893216"/>
        <c:axId val="93892040"/>
      </c:barChart>
      <c:scatterChart>
        <c:scatterStyle val="lineMarker"/>
        <c:varyColors val="0"/>
        <c:ser>
          <c:idx val="3"/>
          <c:order val="2"/>
          <c:tx>
            <c:strRef>
              <c:f>Reference!$I$5</c:f>
              <c:strCache>
                <c:ptCount val="1"/>
                <c:pt idx="0">
                  <c:v>In Process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rgbClr val="002060"/>
              </a:solidFill>
              <a:ln w="9525" cap="sq">
                <a:noFill/>
              </a:ln>
              <a:effectLst/>
            </c:spPr>
          </c:marker>
          <c:dPt>
            <c:idx val="0"/>
            <c:marker>
              <c:symbol val="square"/>
              <c:size val="8"/>
              <c:spPr>
                <a:noFill/>
                <a:ln w="9525" cap="sq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noFill/>
                <a:ln w="9525" cap="sq">
                  <a:noFill/>
                </a:ln>
                <a:effectLst/>
              </c:spPr>
            </c:marker>
            <c:bubble3D val="0"/>
          </c:dPt>
          <c:errBars>
            <c:errDir val="x"/>
            <c:errBarType val="minus"/>
            <c:errValType val="percentage"/>
            <c:noEndCap val="1"/>
            <c:val val="100"/>
            <c:spPr>
              <a:noFill/>
              <a:ln w="82550" cap="flat" cmpd="sng" algn="ctr">
                <a:solidFill>
                  <a:srgbClr val="002060"/>
                </a:solidFill>
                <a:round/>
              </a:ln>
              <a:effectLst/>
            </c:spPr>
          </c:errBars>
          <c:xVal>
            <c:numRef>
              <c:f>Reference!$J$5:$K$5</c:f>
              <c:numCache>
                <c:formatCode>General</c:formatCode>
                <c:ptCount val="2"/>
                <c:pt idx="0">
                  <c:v>4</c:v>
                </c:pt>
                <c:pt idx="1">
                  <c:v>0</c:v>
                </c:pt>
              </c:numCache>
            </c:numRef>
          </c:xVal>
          <c:yVal>
            <c:numRef>
              <c:f>Reference!$J$7:$K$7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Reference!$I$6</c:f>
              <c:strCache>
                <c:ptCount val="1"/>
                <c:pt idx="0">
                  <c:v>Past Due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ash"/>
              <c:size val="10"/>
              <c:spPr>
                <a:noFill/>
                <a:ln w="9525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dash"/>
              <c:size val="10"/>
              <c:spPr>
                <a:noFill/>
                <a:ln w="9525">
                  <a:noFill/>
                </a:ln>
                <a:effectLst/>
              </c:spPr>
            </c:marker>
            <c:bubble3D val="0"/>
          </c:dPt>
          <c:errBars>
            <c:errDir val="y"/>
            <c:errBarType val="both"/>
            <c:errValType val="fixedVal"/>
            <c:noEndCap val="1"/>
            <c:val val="0.5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Reference!$J$6:$K$6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Reference!$J$7:$K$7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93608"/>
        <c:axId val="93892824"/>
      </c:scatterChart>
      <c:catAx>
        <c:axId val="93893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92040"/>
        <c:crosses val="autoZero"/>
        <c:auto val="1"/>
        <c:lblAlgn val="ctr"/>
        <c:lblOffset val="100"/>
        <c:noMultiLvlLbl val="0"/>
      </c:catAx>
      <c:valAx>
        <c:axId val="938920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r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projects</a:t>
                </a:r>
              </a:p>
            </c:rich>
          </c:tx>
          <c:layout>
            <c:manualLayout>
              <c:xMode val="edge"/>
              <c:yMode val="edge"/>
              <c:x val="0.24910249289378247"/>
              <c:y val="0.767211643999045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r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low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93216"/>
        <c:crosses val="autoZero"/>
        <c:crossBetween val="between"/>
      </c:valAx>
      <c:valAx>
        <c:axId val="93892824"/>
        <c:scaling>
          <c:orientation val="maxMin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93608"/>
        <c:crosses val="max"/>
        <c:crossBetween val="midCat"/>
      </c:valAx>
      <c:valAx>
        <c:axId val="938936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9389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9.7322592181750961E-3"/>
          <c:y val="5.5104748270102595E-2"/>
          <c:w val="0.16340992860450054"/>
          <c:h val="0.90853156513330557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304801</xdr:colOff>
      <xdr:row>5</xdr:row>
      <xdr:rowOff>95250</xdr:rowOff>
    </xdr:from>
    <xdr:to>
      <xdr:col>11</xdr:col>
      <xdr:colOff>161926</xdr:colOff>
      <xdr:row>6</xdr:row>
      <xdr:rowOff>28576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18</xdr:col>
      <xdr:colOff>261730</xdr:colOff>
      <xdr:row>6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blLog" displayName="tblLog" ref="C8:BL17" totalsRowShown="0" headerRowDxfId="74">
  <autoFilter ref="C8:BL17"/>
  <sortState ref="C15:BO57">
    <sortCondition ref="C15:C57"/>
    <sortCondition ref="F15:F57"/>
  </sortState>
  <tableColumns count="62">
    <tableColumn id="17" name="Group" dataDxfId="73"/>
    <tableColumn id="4" name="Status" dataDxfId="72"/>
    <tableColumn id="18" name="Priority" dataDxfId="71"/>
    <tableColumn id="1" name="Task Numbers" dataDxfId="70"/>
    <tableColumn id="2" name="Category" dataDxfId="69"/>
    <tableColumn id="3" name="Project" dataDxfId="68"/>
    <tableColumn id="7" name="Owner" dataDxfId="67"/>
    <tableColumn id="5" name="Start Date" dataDxfId="66"/>
    <tableColumn id="6" name="Deadline" dataDxfId="65"/>
    <tableColumn id="8" name="1" dataDxfId="64"/>
    <tableColumn id="23" name="2" dataDxfId="63"/>
    <tableColumn id="24" name="3" dataDxfId="62"/>
    <tableColumn id="25" name="4" dataDxfId="61"/>
    <tableColumn id="26" name="5" dataDxfId="60"/>
    <tableColumn id="27" name="6" dataDxfId="59"/>
    <tableColumn id="28" name="7" dataDxfId="58"/>
    <tableColumn id="29" name="8" dataDxfId="57"/>
    <tableColumn id="30" name="9" dataDxfId="56"/>
    <tableColumn id="31" name="10" dataDxfId="55"/>
    <tableColumn id="32" name="11" dataDxfId="54"/>
    <tableColumn id="33" name="12" dataDxfId="53"/>
    <tableColumn id="34" name="13" dataDxfId="52"/>
    <tableColumn id="35" name="14" dataDxfId="51"/>
    <tableColumn id="36" name="15" dataDxfId="50"/>
    <tableColumn id="37" name="16" dataDxfId="49"/>
    <tableColumn id="38" name="17" dataDxfId="48"/>
    <tableColumn id="39" name="18" dataDxfId="47"/>
    <tableColumn id="40" name="19" dataDxfId="46"/>
    <tableColumn id="41" name="20" dataDxfId="45"/>
    <tableColumn id="42" name="21" dataDxfId="44"/>
    <tableColumn id="43" name="22" dataDxfId="43"/>
    <tableColumn id="44" name="23" dataDxfId="42"/>
    <tableColumn id="45" name="24" dataDxfId="41"/>
    <tableColumn id="46" name="25" dataDxfId="40"/>
    <tableColumn id="47" name="26" dataDxfId="39"/>
    <tableColumn id="48" name="27" dataDxfId="38"/>
    <tableColumn id="49" name="28" dataDxfId="37"/>
    <tableColumn id="50" name="29" dataDxfId="36"/>
    <tableColumn id="51" name="30" dataDxfId="35"/>
    <tableColumn id="52" name="31" dataDxfId="34"/>
    <tableColumn id="53" name="32" dataDxfId="33"/>
    <tableColumn id="54" name="33" dataDxfId="32"/>
    <tableColumn id="55" name="34" dataDxfId="31"/>
    <tableColumn id="56" name="35" dataDxfId="30"/>
    <tableColumn id="57" name="36" dataDxfId="29"/>
    <tableColumn id="58" name="37" dataDxfId="28"/>
    <tableColumn id="59" name="38" dataDxfId="27"/>
    <tableColumn id="60" name="39" dataDxfId="26"/>
    <tableColumn id="61" name="40" dataDxfId="25"/>
    <tableColumn id="62" name="41" dataDxfId="24"/>
    <tableColumn id="63" name="42" dataDxfId="23"/>
    <tableColumn id="64" name="43" dataDxfId="22"/>
    <tableColumn id="65" name="44" dataDxfId="21"/>
    <tableColumn id="66" name="45" dataDxfId="20"/>
    <tableColumn id="67" name="46" dataDxfId="19"/>
    <tableColumn id="68" name="47" dataDxfId="18"/>
    <tableColumn id="69" name="48" dataDxfId="17"/>
    <tableColumn id="70" name="49" dataDxfId="16"/>
    <tableColumn id="71" name="50" dataDxfId="15"/>
    <tableColumn id="72" name="51" dataDxfId="14"/>
    <tableColumn id="73" name="52" dataDxfId="13"/>
    <tableColumn id="74" name="53" dataDxfId="12"/>
  </tableColumns>
  <tableStyleInfo name="KTM table" showFirstColumn="0" showLastColumn="0" showRowStripes="1" showColumnStripes="0"/>
</table>
</file>

<file path=xl/tables/table2.xml><?xml version="1.0" encoding="utf-8"?>
<table xmlns="http://schemas.openxmlformats.org/spreadsheetml/2006/main" id="2" name="tblStatus" displayName="tblStatus" ref="B2:B8" totalsRowShown="0" dataDxfId="11">
  <autoFilter ref="B2:B8"/>
  <tableColumns count="1">
    <tableColumn id="1" name="status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Responsibility" displayName="tblResponsibility" ref="D2:D4" totalsRowShown="0">
  <autoFilter ref="D2:D4"/>
  <tableColumns count="1">
    <tableColumn id="1" name="responsibil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F2:G4" totalsRowShown="0">
  <autoFilter ref="F2:G4"/>
  <tableColumns count="2">
    <tableColumn id="1" name="Group"/>
    <tableColumn id="2" name="long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B12:C16" totalsRowShown="0">
  <autoFilter ref="B12:C16">
    <filterColumn colId="0" hiddenButton="1"/>
    <filterColumn colId="1" hiddenButton="1"/>
  </autoFilter>
  <tableColumns count="2">
    <tableColumn id="1" name="These Headers are REQUIRED_x000a_but you can change these to match headers on the Log (exactly)"/>
    <tableColumn id="2" name="quick copy"/>
  </tableColumns>
  <tableStyleInfo name="KTM table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I2:K7" totalsRowShown="0" headerRowDxfId="9" dataDxfId="8" tableBorderDxfId="7">
  <autoFilter ref="I2:K7">
    <filterColumn colId="0" hiddenButton="1"/>
    <filterColumn colId="1" hiddenButton="1"/>
    <filterColumn colId="2" hiddenButton="1"/>
  </autoFilter>
  <tableColumns count="3">
    <tableColumn id="1" name="categories" dataDxfId="6"/>
    <tableColumn id="2" name="Type1" dataDxfId="5"/>
    <tableColumn id="3" name="Type2" dataDxfId="4"/>
  </tableColumns>
  <tableStyleInfo name="KTM table" showFirstColumn="0" showLastColumn="0" showRowStripes="1" showColumnStripes="0"/>
</table>
</file>

<file path=xl/tables/table7.xml><?xml version="1.0" encoding="utf-8"?>
<table xmlns="http://schemas.openxmlformats.org/spreadsheetml/2006/main" id="5" name="tblGnattAlert" displayName="tblGnattAlert" ref="F20:H22" totalsRowShown="0" headerRowDxfId="3">
  <autoFilter ref="F20:H22"/>
  <tableColumns count="3">
    <tableColumn id="1" name="Date" dataDxfId="2"/>
    <tableColumn id="2" name="Comment" dataDxfId="1"/>
    <tableColumn id="3" name="Week" dataDxfId="0">
      <calculatedColumnFormula>WEEKNUM(tblGnattAlert[[#This Row],[Date]])</calculatedColumnFormula>
    </tableColumn>
  </tableColumns>
  <tableStyleInfo name="KTM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BN21"/>
  <sheetViews>
    <sheetView showGridLines="0" tabSelected="1" zoomScaleNormal="100" workbookViewId="0">
      <selection activeCell="E13" sqref="E13"/>
    </sheetView>
  </sheetViews>
  <sheetFormatPr defaultRowHeight="15" outlineLevelCol="1" x14ac:dyDescent="0.25"/>
  <cols>
    <col min="1" max="1" width="1" customWidth="1"/>
    <col min="2" max="2" width="2.5703125" customWidth="1"/>
    <col min="3" max="3" width="7" customWidth="1"/>
    <col min="4" max="4" width="13.7109375" customWidth="1"/>
    <col min="5" max="5" width="8.28515625" customWidth="1"/>
    <col min="6" max="6" width="11.7109375" bestFit="1" customWidth="1"/>
    <col min="7" max="7" width="21" customWidth="1"/>
    <col min="8" max="8" width="31.85546875" bestFit="1" customWidth="1"/>
    <col min="9" max="9" width="8" bestFit="1" customWidth="1"/>
    <col min="10" max="10" width="15.28515625" customWidth="1"/>
    <col min="11" max="11" width="15.28515625" style="6" customWidth="1"/>
    <col min="12" max="24" width="2.5703125" style="36" customWidth="1" outlineLevel="1"/>
    <col min="25" max="25" width="2.5703125" style="36" customWidth="1" outlineLevel="1" collapsed="1"/>
    <col min="26" max="37" width="2.5703125" style="36" customWidth="1" outlineLevel="1"/>
    <col min="38" max="38" width="2.5703125" style="36" customWidth="1" outlineLevel="1" collapsed="1"/>
    <col min="39" max="50" width="2.5703125" style="36" customWidth="1" outlineLevel="1"/>
    <col min="51" max="51" width="2.5703125" style="36" customWidth="1" outlineLevel="1" collapsed="1"/>
    <col min="52" max="62" width="2.5703125" style="36" customWidth="1" outlineLevel="1"/>
    <col min="63" max="64" width="2.5703125" style="37" customWidth="1" outlineLevel="1"/>
    <col min="65" max="65" width="2.5703125" customWidth="1"/>
    <col min="66" max="66" width="9.140625" customWidth="1"/>
  </cols>
  <sheetData>
    <row r="1" spans="2:66" ht="15.75" thickBot="1" x14ac:dyDescent="0.3">
      <c r="BL1" s="38"/>
    </row>
    <row r="2" spans="2:66" ht="21" x14ac:dyDescent="0.35">
      <c r="B2" s="53" t="s">
        <v>76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5"/>
    </row>
    <row r="3" spans="2:66" ht="19.5" thickBot="1" x14ac:dyDescent="0.35">
      <c r="B3" s="56" t="s">
        <v>84</v>
      </c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8"/>
    </row>
    <row r="4" spans="2:66" ht="18.75" x14ac:dyDescent="0.3">
      <c r="B4" s="16"/>
      <c r="C4" s="16"/>
      <c r="D4" s="16"/>
      <c r="E4" s="16"/>
      <c r="F4" s="16"/>
      <c r="G4" s="16"/>
      <c r="H4" s="16"/>
      <c r="I4" s="16"/>
      <c r="J4" s="16"/>
      <c r="K4" s="16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</row>
    <row r="5" spans="2:66" x14ac:dyDescent="0.25">
      <c r="B5" s="7"/>
      <c r="C5" s="59" t="s">
        <v>75</v>
      </c>
      <c r="D5" s="59"/>
      <c r="E5" s="60">
        <v>42620</v>
      </c>
      <c r="F5" s="60"/>
      <c r="G5" s="7"/>
      <c r="H5" s="7"/>
      <c r="I5" s="7"/>
      <c r="J5" s="7"/>
      <c r="K5" s="7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</row>
    <row r="6" spans="2:66" ht="24" x14ac:dyDescent="0.25">
      <c r="B6" s="7"/>
      <c r="C6" s="8"/>
      <c r="D6" s="8"/>
      <c r="E6" s="7"/>
      <c r="F6" s="7"/>
      <c r="G6" s="7"/>
      <c r="H6" s="7"/>
      <c r="I6" s="7"/>
      <c r="J6" s="7"/>
      <c r="K6" s="7"/>
      <c r="L6" s="40" t="str">
        <f ca="1">IF(OR(next_month_name="Jan",prev_cell=month_name,prev_cell_2=month_name,prev_cell_3=month_name,prev_cell_4=month_name),"",month_name)</f>
        <v/>
      </c>
      <c r="M6" s="40" t="str">
        <f ca="1">IF(OR(prev_cell=month_name,prev_cell_2=month_name,prev_cell_3=month_name,prev_cell_4=month_name),"",month_name)</f>
        <v>Jan</v>
      </c>
      <c r="N6" s="40" t="str">
        <f ca="1">IF(OR(prev_cell=month_name,prev_cell_2=month_name,prev_cell_3=month_name,prev_cell_4=month_name),"",month_name)</f>
        <v/>
      </c>
      <c r="O6" s="40" t="str">
        <f ca="1">IF(OR(prev_cell=month_name,prev_cell_2=month_name,prev_cell_3=month_name,prev_cell_4=month_name),"",month_name)</f>
        <v/>
      </c>
      <c r="P6" s="40" t="str">
        <f ca="1">IF(OR(prev_cell=month_name,prev_cell_2=month_name,prev_cell_3=month_name,prev_cell_4=month_name),"",month_name)</f>
        <v/>
      </c>
      <c r="Q6" s="40" t="str">
        <f ca="1">IF(OR(prev_cell=month_name,prev_cell_2=month_name,prev_cell_3=month_name,prev_cell_4=month_name),"",month_name)</f>
        <v>Feb</v>
      </c>
      <c r="R6" s="40" t="str">
        <f ca="1">IF(OR(prev_cell=month_name,prev_cell_2=month_name,prev_cell_3=month_name,prev_cell_4=month_name),"",month_name)</f>
        <v/>
      </c>
      <c r="S6" s="40" t="str">
        <f ca="1">IF(OR(prev_cell=month_name,prev_cell_2=month_name,prev_cell_3=month_name,prev_cell_4=month_name),"",month_name)</f>
        <v/>
      </c>
      <c r="T6" s="40" t="str">
        <f ca="1">IF(OR(prev_cell=month_name,prev_cell_2=month_name,prev_cell_3=month_name,prev_cell_4=month_name),"",month_name)</f>
        <v/>
      </c>
      <c r="U6" s="40" t="str">
        <f ca="1">IF(OR(prev_cell=month_name,prev_cell_2=month_name,prev_cell_3=month_name,prev_cell_4=month_name),"",month_name)</f>
        <v/>
      </c>
      <c r="V6" s="40" t="str">
        <f ca="1">IF(OR(prev_cell=month_name,prev_cell_2=month_name,prev_cell_3=month_name,prev_cell_4=month_name),"",month_name)</f>
        <v>Mar</v>
      </c>
      <c r="W6" s="40" t="str">
        <f ca="1">IF(OR(prev_cell=month_name,prev_cell_2=month_name,prev_cell_3=month_name,prev_cell_4=month_name),"",month_name)</f>
        <v/>
      </c>
      <c r="X6" s="40" t="str">
        <f ca="1">IF(OR(prev_cell=month_name,prev_cell_2=month_name,prev_cell_3=month_name,prev_cell_4=month_name),"",month_name)</f>
        <v/>
      </c>
      <c r="Y6" s="40" t="str">
        <f ca="1">IF(OR(prev_cell=month_name,prev_cell_2=month_name,prev_cell_3=month_name,prev_cell_4=month_name),"",month_name)</f>
        <v/>
      </c>
      <c r="Z6" s="40" t="str">
        <f ca="1">IF(OR(prev_cell=month_name,prev_cell_2=month_name,prev_cell_3=month_name,prev_cell_4=month_name),"",month_name)</f>
        <v>Apr</v>
      </c>
      <c r="AA6" s="40" t="str">
        <f ca="1">IF(OR(prev_cell=month_name,prev_cell_2=month_name,prev_cell_3=month_name,prev_cell_4=month_name),"",month_name)</f>
        <v/>
      </c>
      <c r="AB6" s="40" t="str">
        <f ca="1">IF(OR(prev_cell=month_name,prev_cell_2=month_name,prev_cell_3=month_name,prev_cell_4=month_name),"",month_name)</f>
        <v/>
      </c>
      <c r="AC6" s="40" t="str">
        <f ca="1">IF(OR(prev_cell=month_name,prev_cell_2=month_name,prev_cell_3=month_name,prev_cell_4=month_name),"",month_name)</f>
        <v/>
      </c>
      <c r="AD6" s="40" t="str">
        <f ca="1">IF(OR(prev_cell=month_name,prev_cell_2=month_name,prev_cell_3=month_name,prev_cell_4=month_name),"",month_name)</f>
        <v>May</v>
      </c>
      <c r="AE6" s="40" t="str">
        <f ca="1">IF(OR(prev_cell=month_name,prev_cell_2=month_name,prev_cell_3=month_name,prev_cell_4=month_name),"",month_name)</f>
        <v/>
      </c>
      <c r="AF6" s="40" t="str">
        <f ca="1">IF(OR(prev_cell=month_name,prev_cell_2=month_name,prev_cell_3=month_name,prev_cell_4=month_name),"",month_name)</f>
        <v/>
      </c>
      <c r="AG6" s="40" t="str">
        <f ca="1">IF(OR(prev_cell=month_name,prev_cell_2=month_name,prev_cell_3=month_name,prev_cell_4=month_name),"",month_name)</f>
        <v/>
      </c>
      <c r="AH6" s="40" t="str">
        <f ca="1">IF(OR(prev_cell=month_name,prev_cell_2=month_name,prev_cell_3=month_name,prev_cell_4=month_name),"",month_name)</f>
        <v/>
      </c>
      <c r="AI6" s="40" t="str">
        <f ca="1">IF(OR(prev_cell=month_name,prev_cell_2=month_name,prev_cell_3=month_name,prev_cell_4=month_name),"",month_name)</f>
        <v>Jun</v>
      </c>
      <c r="AJ6" s="40" t="str">
        <f ca="1">IF(OR(prev_cell=month_name,prev_cell_2=month_name,prev_cell_3=month_name,prev_cell_4=month_name),"",month_name)</f>
        <v/>
      </c>
      <c r="AK6" s="40" t="str">
        <f ca="1">IF(OR(prev_cell=month_name,prev_cell_2=month_name,prev_cell_3=month_name,prev_cell_4=month_name),"",month_name)</f>
        <v/>
      </c>
      <c r="AL6" s="40" t="str">
        <f ca="1">IF(OR(prev_cell=month_name,prev_cell_2=month_name,prev_cell_3=month_name,prev_cell_4=month_name),"",month_name)</f>
        <v/>
      </c>
      <c r="AM6" s="40" t="str">
        <f ca="1">IF(OR(prev_cell=month_name,prev_cell_2=month_name,prev_cell_3=month_name,prev_cell_4=month_name),"",month_name)</f>
        <v>Jul</v>
      </c>
      <c r="AN6" s="40" t="str">
        <f ca="1">IF(OR(prev_cell=month_name,prev_cell_2=month_name,prev_cell_3=month_name,prev_cell_4=month_name),"",month_name)</f>
        <v/>
      </c>
      <c r="AO6" s="40" t="str">
        <f ca="1">IF(OR(prev_cell=month_name,prev_cell_2=month_name,prev_cell_3=month_name,prev_cell_4=month_name),"",month_name)</f>
        <v/>
      </c>
      <c r="AP6" s="40" t="str">
        <f ca="1">IF(OR(prev_cell=month_name,prev_cell_2=month_name,prev_cell_3=month_name,prev_cell_4=month_name),"",month_name)</f>
        <v/>
      </c>
      <c r="AQ6" s="40" t="str">
        <f ca="1">IF(OR(prev_cell=month_name,prev_cell_2=month_name,prev_cell_3=month_name,prev_cell_4=month_name),"",month_name)</f>
        <v>Aug</v>
      </c>
      <c r="AR6" s="40" t="str">
        <f ca="1">IF(OR(prev_cell=month_name,prev_cell_2=month_name,prev_cell_3=month_name,prev_cell_4=month_name),"",month_name)</f>
        <v/>
      </c>
      <c r="AS6" s="40" t="str">
        <f ca="1">IF(OR(prev_cell=month_name,prev_cell_2=month_name,prev_cell_3=month_name,prev_cell_4=month_name),"",month_name)</f>
        <v/>
      </c>
      <c r="AT6" s="40" t="str">
        <f ca="1">IF(OR(prev_cell=month_name,prev_cell_2=month_name,prev_cell_3=month_name,prev_cell_4=month_name),"",month_name)</f>
        <v/>
      </c>
      <c r="AU6" s="40" t="str">
        <f ca="1">IF(OR(prev_cell=month_name,prev_cell_2=month_name,prev_cell_3=month_name,prev_cell_4=month_name),"",month_name)</f>
        <v/>
      </c>
      <c r="AV6" s="40" t="str">
        <f ca="1">IF(OR(prev_cell=month_name,prev_cell_2=month_name,prev_cell_3=month_name,prev_cell_4=month_name),"",month_name)</f>
        <v>Sep</v>
      </c>
      <c r="AW6" s="40" t="str">
        <f ca="1">IF(OR(prev_cell=month_name,prev_cell_2=month_name,prev_cell_3=month_name,prev_cell_4=month_name),"",month_name)</f>
        <v/>
      </c>
      <c r="AX6" s="40" t="str">
        <f ca="1">IF(OR(prev_cell=month_name,prev_cell_2=month_name,prev_cell_3=month_name,prev_cell_4=month_name),"",month_name)</f>
        <v/>
      </c>
      <c r="AY6" s="40" t="str">
        <f ca="1">IF(OR(prev_cell=month_name,prev_cell_2=month_name,prev_cell_3=month_name,prev_cell_4=month_name),"",month_name)</f>
        <v/>
      </c>
      <c r="AZ6" s="40" t="str">
        <f ca="1">IF(OR(prev_cell=month_name,prev_cell_2=month_name,prev_cell_3=month_name,prev_cell_4=month_name),"",month_name)</f>
        <v>Oct</v>
      </c>
      <c r="BA6" s="40" t="str">
        <f ca="1">IF(OR(prev_cell=month_name,prev_cell_2=month_name,prev_cell_3=month_name,prev_cell_4=month_name),"",month_name)</f>
        <v/>
      </c>
      <c r="BB6" s="40" t="str">
        <f ca="1">IF(OR(prev_cell=month_name,prev_cell_2=month_name,prev_cell_3=month_name,prev_cell_4=month_name),"",month_name)</f>
        <v/>
      </c>
      <c r="BC6" s="40" t="str">
        <f ca="1">IF(OR(prev_cell=month_name,prev_cell_2=month_name,prev_cell_3=month_name,prev_cell_4=month_name),"",month_name)</f>
        <v/>
      </c>
      <c r="BD6" s="40" t="str">
        <f ca="1">IF(OR(prev_cell=month_name,prev_cell_2=month_name,prev_cell_3=month_name,prev_cell_4=month_name),"",month_name)</f>
        <v/>
      </c>
      <c r="BE6" s="40" t="str">
        <f ca="1">IF(OR(prev_cell=month_name,prev_cell_2=month_name,prev_cell_3=month_name,prev_cell_4=month_name),"",month_name)</f>
        <v>Nov</v>
      </c>
      <c r="BF6" s="40" t="str">
        <f ca="1">IF(OR(prev_cell=month_name,prev_cell_2=month_name,prev_cell_3=month_name,prev_cell_4=month_name),"",month_name)</f>
        <v/>
      </c>
      <c r="BG6" s="40" t="str">
        <f ca="1">IF(OR(prev_cell=month_name,prev_cell_2=month_name,prev_cell_3=month_name,prev_cell_4=month_name),"",month_name)</f>
        <v/>
      </c>
      <c r="BH6" s="40" t="str">
        <f ca="1">IF(OR(prev_cell=month_name,prev_cell_2=month_name,prev_cell_3=month_name,prev_cell_4=month_name),"",month_name)</f>
        <v/>
      </c>
      <c r="BI6" s="40" t="str">
        <f ca="1">IF(OR(prev_cell=month_name,prev_cell_2=month_name,prev_cell_3=month_name,prev_cell_4=month_name),"",month_name)</f>
        <v>Dec</v>
      </c>
      <c r="BJ6" s="40" t="str">
        <f ca="1">IF(OR(prev_cell=month_name,prev_cell_2=month_name,prev_cell_3=month_name,prev_cell_4=month_name),"",month_name)</f>
        <v/>
      </c>
      <c r="BK6" s="40" t="str">
        <f ca="1">IF(OR(prev_cell=month_name,prev_cell_2=month_name,prev_cell_3=month_name,prev_cell_4=month_name),"",month_name)</f>
        <v/>
      </c>
      <c r="BL6" s="40" t="str">
        <f ca="1">IF(OR(prev_cell=month_name,prev_cell_2=month_name,prev_cell_3=month_name,prev_cell_4=month_name),"",month_name)</f>
        <v/>
      </c>
    </row>
    <row r="7" spans="2:66" s="4" customFormat="1" ht="21.75" customHeight="1" x14ac:dyDescent="0.2">
      <c r="B7" s="12"/>
      <c r="C7" s="12"/>
      <c r="D7" s="12"/>
      <c r="E7" s="12"/>
      <c r="F7" s="12"/>
      <c r="G7" s="12"/>
      <c r="H7" s="12"/>
      <c r="I7" s="12"/>
      <c r="J7" s="15"/>
      <c r="K7" s="52" t="s">
        <v>115</v>
      </c>
      <c r="L7" s="49">
        <f t="shared" ref="L7:AQ7" ca="1" si="0">DAY(date_from_col_num)</f>
        <v>28</v>
      </c>
      <c r="M7" s="49">
        <f t="shared" ca="1" si="0"/>
        <v>4</v>
      </c>
      <c r="N7" s="49">
        <f t="shared" ca="1" si="0"/>
        <v>11</v>
      </c>
      <c r="O7" s="49">
        <f t="shared" ca="1" si="0"/>
        <v>18</v>
      </c>
      <c r="P7" s="49">
        <f t="shared" ca="1" si="0"/>
        <v>25</v>
      </c>
      <c r="Q7" s="49">
        <f t="shared" ca="1" si="0"/>
        <v>1</v>
      </c>
      <c r="R7" s="49">
        <f t="shared" ca="1" si="0"/>
        <v>8</v>
      </c>
      <c r="S7" s="49">
        <f t="shared" ca="1" si="0"/>
        <v>15</v>
      </c>
      <c r="T7" s="49">
        <f t="shared" ca="1" si="0"/>
        <v>22</v>
      </c>
      <c r="U7" s="49">
        <f t="shared" ca="1" si="0"/>
        <v>29</v>
      </c>
      <c r="V7" s="49">
        <f t="shared" ca="1" si="0"/>
        <v>7</v>
      </c>
      <c r="W7" s="49">
        <f t="shared" ca="1" si="0"/>
        <v>14</v>
      </c>
      <c r="X7" s="49">
        <f t="shared" ca="1" si="0"/>
        <v>21</v>
      </c>
      <c r="Y7" s="49">
        <f t="shared" ca="1" si="0"/>
        <v>28</v>
      </c>
      <c r="Z7" s="49">
        <f t="shared" ca="1" si="0"/>
        <v>4</v>
      </c>
      <c r="AA7" s="49">
        <f t="shared" ca="1" si="0"/>
        <v>11</v>
      </c>
      <c r="AB7" s="49">
        <f t="shared" ca="1" si="0"/>
        <v>18</v>
      </c>
      <c r="AC7" s="49">
        <f t="shared" ca="1" si="0"/>
        <v>25</v>
      </c>
      <c r="AD7" s="49">
        <f t="shared" ca="1" si="0"/>
        <v>2</v>
      </c>
      <c r="AE7" s="49">
        <f t="shared" ca="1" si="0"/>
        <v>9</v>
      </c>
      <c r="AF7" s="49">
        <f t="shared" ca="1" si="0"/>
        <v>16</v>
      </c>
      <c r="AG7" s="49">
        <f t="shared" ca="1" si="0"/>
        <v>23</v>
      </c>
      <c r="AH7" s="49">
        <f t="shared" ca="1" si="0"/>
        <v>30</v>
      </c>
      <c r="AI7" s="49">
        <f t="shared" ca="1" si="0"/>
        <v>6</v>
      </c>
      <c r="AJ7" s="49">
        <f t="shared" ca="1" si="0"/>
        <v>13</v>
      </c>
      <c r="AK7" s="49">
        <f t="shared" ca="1" si="0"/>
        <v>20</v>
      </c>
      <c r="AL7" s="49">
        <f t="shared" ca="1" si="0"/>
        <v>27</v>
      </c>
      <c r="AM7" s="49">
        <f t="shared" ca="1" si="0"/>
        <v>4</v>
      </c>
      <c r="AN7" s="49">
        <f t="shared" ca="1" si="0"/>
        <v>11</v>
      </c>
      <c r="AO7" s="49">
        <f t="shared" ca="1" si="0"/>
        <v>18</v>
      </c>
      <c r="AP7" s="49">
        <f t="shared" ca="1" si="0"/>
        <v>25</v>
      </c>
      <c r="AQ7" s="49">
        <f t="shared" ca="1" si="0"/>
        <v>1</v>
      </c>
      <c r="AR7" s="49">
        <f t="shared" ref="AR7:BL7" ca="1" si="1">DAY(date_from_col_num)</f>
        <v>8</v>
      </c>
      <c r="AS7" s="49">
        <f t="shared" ca="1" si="1"/>
        <v>15</v>
      </c>
      <c r="AT7" s="49">
        <f t="shared" ca="1" si="1"/>
        <v>22</v>
      </c>
      <c r="AU7" s="49">
        <f t="shared" ca="1" si="1"/>
        <v>29</v>
      </c>
      <c r="AV7" s="49">
        <f t="shared" ca="1" si="1"/>
        <v>5</v>
      </c>
      <c r="AW7" s="49">
        <f t="shared" ca="1" si="1"/>
        <v>12</v>
      </c>
      <c r="AX7" s="49">
        <f t="shared" ca="1" si="1"/>
        <v>19</v>
      </c>
      <c r="AY7" s="49">
        <f t="shared" ca="1" si="1"/>
        <v>26</v>
      </c>
      <c r="AZ7" s="49">
        <f t="shared" ca="1" si="1"/>
        <v>3</v>
      </c>
      <c r="BA7" s="49">
        <f t="shared" ca="1" si="1"/>
        <v>10</v>
      </c>
      <c r="BB7" s="49">
        <f t="shared" ca="1" si="1"/>
        <v>17</v>
      </c>
      <c r="BC7" s="49">
        <f t="shared" ca="1" si="1"/>
        <v>24</v>
      </c>
      <c r="BD7" s="49">
        <f t="shared" ca="1" si="1"/>
        <v>31</v>
      </c>
      <c r="BE7" s="49">
        <f t="shared" ca="1" si="1"/>
        <v>7</v>
      </c>
      <c r="BF7" s="49">
        <f t="shared" ca="1" si="1"/>
        <v>14</v>
      </c>
      <c r="BG7" s="49">
        <f t="shared" ca="1" si="1"/>
        <v>21</v>
      </c>
      <c r="BH7" s="49">
        <f t="shared" ca="1" si="1"/>
        <v>28</v>
      </c>
      <c r="BI7" s="49">
        <f t="shared" ca="1" si="1"/>
        <v>5</v>
      </c>
      <c r="BJ7" s="49">
        <f t="shared" ca="1" si="1"/>
        <v>12</v>
      </c>
      <c r="BK7" s="49">
        <f t="shared" ca="1" si="1"/>
        <v>19</v>
      </c>
      <c r="BL7" s="49">
        <f t="shared" ca="1" si="1"/>
        <v>26</v>
      </c>
      <c r="BM7" s="49"/>
    </row>
    <row r="8" spans="2:66" s="3" customFormat="1" ht="28.5" customHeight="1" x14ac:dyDescent="0.25">
      <c r="B8" s="14"/>
      <c r="C8" s="13" t="s">
        <v>110</v>
      </c>
      <c r="D8" s="13" t="s">
        <v>60</v>
      </c>
      <c r="E8" s="13" t="s">
        <v>72</v>
      </c>
      <c r="F8" s="13" t="s">
        <v>63</v>
      </c>
      <c r="G8" s="13" t="s">
        <v>82</v>
      </c>
      <c r="H8" s="13" t="s">
        <v>62</v>
      </c>
      <c r="I8" s="17" t="s">
        <v>86</v>
      </c>
      <c r="J8" s="13" t="s">
        <v>3</v>
      </c>
      <c r="K8" s="11" t="s">
        <v>109</v>
      </c>
      <c r="L8" s="50" t="s">
        <v>47</v>
      </c>
      <c r="M8" s="50" t="s">
        <v>48</v>
      </c>
      <c r="N8" s="50" t="s">
        <v>103</v>
      </c>
      <c r="O8" s="50" t="s">
        <v>49</v>
      </c>
      <c r="P8" s="50" t="s">
        <v>50</v>
      </c>
      <c r="Q8" s="50" t="s">
        <v>51</v>
      </c>
      <c r="R8" s="50" t="s">
        <v>52</v>
      </c>
      <c r="S8" s="50" t="s">
        <v>53</v>
      </c>
      <c r="T8" s="50" t="s">
        <v>54</v>
      </c>
      <c r="U8" s="50" t="s">
        <v>55</v>
      </c>
      <c r="V8" s="50" t="s">
        <v>56</v>
      </c>
      <c r="W8" s="50" t="s">
        <v>6</v>
      </c>
      <c r="X8" s="50" t="s">
        <v>7</v>
      </c>
      <c r="Y8" s="50" t="s">
        <v>8</v>
      </c>
      <c r="Z8" s="50" t="s">
        <v>9</v>
      </c>
      <c r="AA8" s="50" t="s">
        <v>10</v>
      </c>
      <c r="AB8" s="50" t="s">
        <v>11</v>
      </c>
      <c r="AC8" s="50" t="s">
        <v>12</v>
      </c>
      <c r="AD8" s="50" t="s">
        <v>13</v>
      </c>
      <c r="AE8" s="50" t="s">
        <v>14</v>
      </c>
      <c r="AF8" s="50" t="s">
        <v>15</v>
      </c>
      <c r="AG8" s="50" t="s">
        <v>16</v>
      </c>
      <c r="AH8" s="50" t="s">
        <v>17</v>
      </c>
      <c r="AI8" s="50" t="s">
        <v>18</v>
      </c>
      <c r="AJ8" s="50" t="s">
        <v>19</v>
      </c>
      <c r="AK8" s="50" t="s">
        <v>20</v>
      </c>
      <c r="AL8" s="50" t="s">
        <v>21</v>
      </c>
      <c r="AM8" s="50" t="s">
        <v>22</v>
      </c>
      <c r="AN8" s="50" t="s">
        <v>23</v>
      </c>
      <c r="AO8" s="50" t="s">
        <v>24</v>
      </c>
      <c r="AP8" s="50" t="s">
        <v>25</v>
      </c>
      <c r="AQ8" s="50" t="s">
        <v>26</v>
      </c>
      <c r="AR8" s="50" t="s">
        <v>27</v>
      </c>
      <c r="AS8" s="50" t="s">
        <v>28</v>
      </c>
      <c r="AT8" s="50" t="s">
        <v>29</v>
      </c>
      <c r="AU8" s="50" t="s">
        <v>30</v>
      </c>
      <c r="AV8" s="50" t="s">
        <v>31</v>
      </c>
      <c r="AW8" s="50" t="s">
        <v>32</v>
      </c>
      <c r="AX8" s="50" t="s">
        <v>33</v>
      </c>
      <c r="AY8" s="50" t="s">
        <v>34</v>
      </c>
      <c r="AZ8" s="50" t="s">
        <v>35</v>
      </c>
      <c r="BA8" s="50" t="s">
        <v>36</v>
      </c>
      <c r="BB8" s="50" t="s">
        <v>37</v>
      </c>
      <c r="BC8" s="50" t="s">
        <v>38</v>
      </c>
      <c r="BD8" s="50" t="s">
        <v>39</v>
      </c>
      <c r="BE8" s="50" t="s">
        <v>40</v>
      </c>
      <c r="BF8" s="50" t="s">
        <v>41</v>
      </c>
      <c r="BG8" s="50" t="s">
        <v>42</v>
      </c>
      <c r="BH8" s="50" t="s">
        <v>43</v>
      </c>
      <c r="BI8" s="50" t="s">
        <v>44</v>
      </c>
      <c r="BJ8" s="50" t="s">
        <v>45</v>
      </c>
      <c r="BK8" s="50" t="s">
        <v>46</v>
      </c>
      <c r="BL8" s="50" t="s">
        <v>64</v>
      </c>
      <c r="BM8" s="51"/>
      <c r="BN8" s="14"/>
    </row>
    <row r="9" spans="2:66" x14ac:dyDescent="0.25">
      <c r="B9" s="7"/>
      <c r="C9" s="1" t="s">
        <v>90</v>
      </c>
      <c r="D9" s="1" t="s">
        <v>1</v>
      </c>
      <c r="E9" s="5">
        <v>1</v>
      </c>
      <c r="F9" s="23">
        <v>1</v>
      </c>
      <c r="G9" s="25" t="s">
        <v>77</v>
      </c>
      <c r="H9" s="46" t="s">
        <v>78</v>
      </c>
      <c r="I9" s="44"/>
      <c r="J9" s="5"/>
      <c r="K9" s="22"/>
      <c r="L9" s="9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7"/>
      <c r="BN9" s="7"/>
    </row>
    <row r="10" spans="2:66" x14ac:dyDescent="0.25">
      <c r="B10" s="7"/>
      <c r="C10" s="1" t="s">
        <v>90</v>
      </c>
      <c r="D10" s="19" t="s">
        <v>1</v>
      </c>
      <c r="E10" s="18">
        <v>1</v>
      </c>
      <c r="F10" s="20">
        <v>1.1000000000000001</v>
      </c>
      <c r="G10" s="26"/>
      <c r="H10" s="47" t="s">
        <v>66</v>
      </c>
      <c r="I10" s="45"/>
      <c r="J10" s="21">
        <v>42446</v>
      </c>
      <c r="K10" s="24">
        <v>42728</v>
      </c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7"/>
      <c r="BN10" s="7"/>
    </row>
    <row r="11" spans="2:66" x14ac:dyDescent="0.25">
      <c r="B11" s="7"/>
      <c r="C11" s="1" t="s">
        <v>90</v>
      </c>
      <c r="D11" s="19" t="s">
        <v>1</v>
      </c>
      <c r="E11" s="18">
        <v>1</v>
      </c>
      <c r="F11" s="20">
        <v>1.2</v>
      </c>
      <c r="G11" s="26"/>
      <c r="H11" s="47" t="s">
        <v>81</v>
      </c>
      <c r="I11" s="45"/>
      <c r="J11" s="21">
        <v>42439</v>
      </c>
      <c r="K11" s="24">
        <v>42454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7"/>
      <c r="BN11" s="7"/>
    </row>
    <row r="12" spans="2:66" x14ac:dyDescent="0.25">
      <c r="B12" s="7"/>
      <c r="C12" s="1" t="s">
        <v>90</v>
      </c>
      <c r="D12" s="19" t="s">
        <v>1</v>
      </c>
      <c r="E12" s="18">
        <v>1</v>
      </c>
      <c r="F12" s="20">
        <v>1.3</v>
      </c>
      <c r="G12" s="26"/>
      <c r="H12" s="47" t="s">
        <v>70</v>
      </c>
      <c r="I12" s="45"/>
      <c r="J12" s="21">
        <v>42685</v>
      </c>
      <c r="K12" s="24">
        <v>42724</v>
      </c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7"/>
      <c r="BN12" s="7"/>
    </row>
    <row r="13" spans="2:66" x14ac:dyDescent="0.25">
      <c r="B13" s="7"/>
      <c r="C13" s="1" t="s">
        <v>90</v>
      </c>
      <c r="D13" s="19" t="s">
        <v>4</v>
      </c>
      <c r="E13" s="18">
        <v>1</v>
      </c>
      <c r="F13" s="20">
        <v>1.4</v>
      </c>
      <c r="G13" s="26"/>
      <c r="H13" s="47" t="s">
        <v>67</v>
      </c>
      <c r="I13" s="45"/>
      <c r="J13" s="21">
        <v>42401</v>
      </c>
      <c r="K13" s="24">
        <v>42430</v>
      </c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7"/>
      <c r="BN13" s="7"/>
    </row>
    <row r="14" spans="2:66" x14ac:dyDescent="0.25">
      <c r="B14" s="7"/>
      <c r="C14" s="1" t="s">
        <v>90</v>
      </c>
      <c r="D14" s="19" t="s">
        <v>2</v>
      </c>
      <c r="E14" s="18">
        <v>1</v>
      </c>
      <c r="F14" s="20">
        <v>1.5</v>
      </c>
      <c r="G14" s="26"/>
      <c r="H14" s="47" t="s">
        <v>68</v>
      </c>
      <c r="I14" s="45"/>
      <c r="J14" s="21">
        <v>42428</v>
      </c>
      <c r="K14" s="24">
        <v>42623</v>
      </c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7"/>
      <c r="BN14" s="7"/>
    </row>
    <row r="15" spans="2:66" x14ac:dyDescent="0.25">
      <c r="B15" s="7"/>
      <c r="C15" s="1" t="s">
        <v>91</v>
      </c>
      <c r="D15" s="19" t="s">
        <v>112</v>
      </c>
      <c r="E15" s="18">
        <v>1</v>
      </c>
      <c r="F15" s="20">
        <v>1.6</v>
      </c>
      <c r="G15" s="26"/>
      <c r="H15" s="47" t="s">
        <v>113</v>
      </c>
      <c r="I15" s="24"/>
      <c r="J15" s="21">
        <v>42428</v>
      </c>
      <c r="K15" s="24">
        <v>42623</v>
      </c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7"/>
      <c r="BN15" s="7"/>
    </row>
    <row r="16" spans="2:66" x14ac:dyDescent="0.25">
      <c r="B16" s="7"/>
      <c r="C16" s="1" t="s">
        <v>91</v>
      </c>
      <c r="D16" s="19" t="s">
        <v>111</v>
      </c>
      <c r="E16" s="18">
        <v>1</v>
      </c>
      <c r="F16" s="20">
        <v>1.7</v>
      </c>
      <c r="G16" s="26"/>
      <c r="H16" s="47" t="s">
        <v>114</v>
      </c>
      <c r="I16" s="24"/>
      <c r="J16" s="21">
        <v>42428</v>
      </c>
      <c r="K16" s="24">
        <v>42623</v>
      </c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7"/>
      <c r="BN16" s="7"/>
    </row>
    <row r="17" spans="3:65" x14ac:dyDescent="0.25">
      <c r="C17" s="1" t="s">
        <v>90</v>
      </c>
      <c r="D17" s="19" t="s">
        <v>65</v>
      </c>
      <c r="E17" s="18">
        <v>2</v>
      </c>
      <c r="F17" s="20">
        <v>1.8</v>
      </c>
      <c r="G17" s="26"/>
      <c r="H17" s="47" t="s">
        <v>69</v>
      </c>
      <c r="I17" s="24"/>
      <c r="J17" s="21">
        <v>42401</v>
      </c>
      <c r="K17" s="24">
        <v>42522</v>
      </c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</row>
    <row r="18" spans="3:65" x14ac:dyDescent="0.25">
      <c r="BK18" s="36"/>
      <c r="BL18" s="36"/>
    </row>
    <row r="19" spans="3:65" x14ac:dyDescent="0.25">
      <c r="BK19" s="36"/>
      <c r="BL19" s="36"/>
      <c r="BM19" s="36"/>
    </row>
    <row r="21" spans="3:65" x14ac:dyDescent="0.25">
      <c r="K21" s="48"/>
    </row>
  </sheetData>
  <mergeCells count="4">
    <mergeCell ref="B2:BM2"/>
    <mergeCell ref="B3:BM3"/>
    <mergeCell ref="C5:D5"/>
    <mergeCell ref="E5:F5"/>
  </mergeCells>
  <conditionalFormatting sqref="D9:D17">
    <cfRule type="expression" dxfId="99" priority="6">
      <formula>INDIRECT("tblLog[@["&amp;status_col&amp;"]:["&amp;status_col&amp;"]]")="Risk +"</formula>
    </cfRule>
    <cfRule type="expression" dxfId="98" priority="7">
      <formula>INDIRECT("tblLog[@["&amp;status_col&amp;"]:["&amp;status_col&amp;"]]")="Risk -"</formula>
    </cfRule>
    <cfRule type="expression" priority="46">
      <formula>INDIRECT("tblLog[@["&amp;status_col&amp;"]:["&amp;status_col&amp;"]]")="In Process"</formula>
    </cfRule>
    <cfRule type="expression" dxfId="97" priority="50">
      <formula>INDIRECT("tblLog[@["&amp;status_col&amp;"]:["&amp;status_col&amp;"]]")="Past Due"</formula>
    </cfRule>
  </conditionalFormatting>
  <conditionalFormatting sqref="L8:BL17">
    <cfRule type="expression" dxfId="96" priority="1">
      <formula>AND(INDIRECT("tblLog[@["&amp;status_col&amp;"]:["&amp;status_col&amp;"]]")="Risk +",WEEKNUM(date_from_col_num)&gt;=WEEKNUM(INDIRECT("tblLog[@["&amp;start_date_col&amp;"]:["&amp;start_date_col&amp;"]]")),WEEKNUM(date_from_col_num)&lt;=WEEKNUM(INDIRECT("tblLog[@["&amp;end_date_col&amp;"]:["&amp;end_date_col&amp;"]]")))</formula>
    </cfRule>
    <cfRule type="expression" dxfId="95" priority="43">
      <formula>AND(INDIRECT("tblLog[@["&amp;status_col&amp;"]:["&amp;status_col&amp;"]]")="Risk -",WEEKNUM(date_from_col_num)&gt;=WEEKNUM(INDIRECT("tblLog[@["&amp;start_date_col&amp;"]:["&amp;start_date_col&amp;"]]")),WEEKNUM(date_from_col_num)&lt;=WEEKNUM(INDIRECT("tblLog[@["&amp;end_date_col&amp;"]:["&amp;end_date_col&amp;"]]")))</formula>
    </cfRule>
    <cfRule type="expression" dxfId="94" priority="54">
      <formula>COLUMN()-week_offset=WEEKNUM(today)</formula>
    </cfRule>
    <cfRule type="expression" dxfId="93" priority="56" stopIfTrue="1">
      <formula>AND(INDIRECT("tblLog[@["&amp;status_col&amp;"]:["&amp;status_col&amp;"]]")="Past Due",WEEKNUM(date_from_col_num)&gt;=WEEKNUM(INDIRECT("tblLog[@["&amp;start_date_col&amp;"]:["&amp;start_date_col&amp;"]]")),WEEKNUM(date_from_col_num)&lt;=WEEKNUM(INDIRECT("tblLog[@["&amp;end_date_col&amp;"]:["&amp;end_date_col&amp;"]]")))</formula>
    </cfRule>
    <cfRule type="expression" dxfId="92" priority="60" stopIfTrue="1">
      <formula>AND(INDIRECT("tblLog[@["&amp;status_col&amp;"]:["&amp;status_col&amp;"]]")="In Process",WEEKNUM(INDIRECT("tblLog[@["&amp;end_date_col&amp;"]:["&amp;end_date_col&amp;"]]"))&lt;=this_week+1,WEEKNUM(date_from_col_num)&gt;=WEEKNUM(INDIRECT("tblLog[@["&amp;start_date_col&amp;"]:["&amp;start_date_col&amp;"]]")),WEEKNUM(date_from_col_num)&lt;=WEEKNUM(INDIRECT("tblLog[@["&amp;end_date_col&amp;"]:["&amp;end_date_col&amp;"]]")))</formula>
    </cfRule>
    <cfRule type="expression" dxfId="91" priority="62" stopIfTrue="1">
      <formula>AND(INDIRECT("tblLog[@["&amp;status_col&amp;"]:["&amp;status_col&amp;"]]")="Complete",WEEKNUM(date_from_col_num)&gt;=WEEKNUM(INDIRECT("tblLog[@["&amp;start_date_col&amp;"]:["&amp;start_date_col&amp;"]]")),WEEKNUM(date_from_col_num)&lt;=WEEKNUM(INDIRECT("tblLog[@["&amp;end_date_col&amp;"]:["&amp;end_date_col&amp;"]]")))</formula>
    </cfRule>
    <cfRule type="expression" dxfId="90" priority="63" stopIfTrue="1">
      <formula>AND(INDIRECT("tblLog[@["&amp;status_col&amp;"]:["&amp;status_col&amp;"]]")="Inactive",WEEKNUM(date_from_col_num)&gt;=WEEKNUM(INDIRECT("tblLog[@["&amp;start_date_col&amp;"]:["&amp;start_date_col&amp;"]]")),WEEKNUM(date_from_col_num)&lt;=WEEKNUM(INDIRECT("tblLog[@["&amp;end_date_col&amp;"]:["&amp;end_date_col&amp;"]]")))</formula>
    </cfRule>
    <cfRule type="expression" dxfId="89" priority="64" stopIfTrue="1">
      <formula>AND(WEEKNUM(INDIRECT("tblLog[@["&amp;start_date_col&amp;"]:["&amp;start_date_col&amp;"]]"))&gt;this_week,WEEKNUM(date_from_col_num)&gt;=WEEKNUM(INDIRECT("tblLog[@["&amp;start_date_col&amp;"]:["&amp;start_date_col&amp;"]]")),WEEKNUM(date_from_col_num)&lt;=WEEKNUM(INDIRECT("tblLog[@["&amp;end_date_col&amp;"]:["&amp;end_date_col&amp;"]]")))</formula>
    </cfRule>
    <cfRule type="expression" dxfId="88" priority="67" stopIfTrue="1">
      <formula>AND(WEEKNUM(date_from_col_num)&gt;=WEEKNUM(INDIRECT("tblLog[@["&amp;start_date_col&amp;"]:["&amp;start_date_col&amp;"]]")),WEEKNUM(date_from_col_num)&lt;=WEEKNUM(INDIRECT("tblLog[@["&amp;end_date_col&amp;"]:["&amp;end_date_col&amp;"]]")))</formula>
    </cfRule>
    <cfRule type="expression" dxfId="87" priority="68">
      <formula>NOT(ISNA(MATCH(COLUMN()-week_offset,gantt_alerts,0)))</formula>
    </cfRule>
  </conditionalFormatting>
  <conditionalFormatting sqref="L8:BL8">
    <cfRule type="expression" dxfId="86" priority="57">
      <formula>month_week_next_from_col_num &lt; month_week_from_col_num</formula>
    </cfRule>
    <cfRule type="expression" dxfId="85" priority="71" stopIfTrue="1">
      <formula>COLUMN()-week_offset=WEEKNUM(today)</formula>
    </cfRule>
  </conditionalFormatting>
  <conditionalFormatting sqref="L9:BL17">
    <cfRule type="expression" dxfId="84" priority="3">
      <formula>month_week_next_from_col_num &lt; month_week_from_col_num</formula>
    </cfRule>
  </conditionalFormatting>
  <conditionalFormatting sqref="F9:F17 H9:H17">
    <cfRule type="expression" dxfId="83" priority="9">
      <formula>MOD(INDIRECT("tblLog[@["&amp;task_number_col&amp;"]:["&amp;task_number_col&amp;"]]"),INT(INDIRECT("tblLog[@["&amp;task_number_col&amp;"]:["&amp;task_number_col&amp;"]]")))&gt;0</formula>
    </cfRule>
  </conditionalFormatting>
  <conditionalFormatting sqref="J9:K17">
    <cfRule type="expression" dxfId="82" priority="5">
      <formula>AND(WEEKNUM(INDIRECT("tblLog[@["&amp;start_date_col &amp;"]:["&amp;start_date_col&amp;"]]"))&gt;this_week,INDIRECT("tblLog[@["&amp;status_col&amp;"]:["&amp;status_col&amp;"]]")=("In Process"))</formula>
    </cfRule>
    <cfRule type="expression" dxfId="81" priority="33">
      <formula>AND(WEEKNUM(INDIRECT("tblLog[@["&amp;end_date_col &amp;"]:["&amp;end_date_col&amp;"]]"))&lt;=this_week+1,INDIRECT("tblLog[@["&amp;status_col&amp;"]:["&amp;status_col&amp;"]]")=("In Process"))</formula>
    </cfRule>
    <cfRule type="expression" dxfId="80" priority="34">
      <formula>INDIRECT("tblLog[@["&amp;status_col&amp;"]:["&amp;status_col&amp;"]]")="Risk +"</formula>
    </cfRule>
    <cfRule type="expression" dxfId="79" priority="42">
      <formula>INDIRECT("tblLog[@["&amp;status_col&amp;"]:["&amp;status_col&amp;"]]")="Past Due"</formula>
    </cfRule>
    <cfRule type="expression" dxfId="78" priority="51">
      <formula>INDIRECT("tblLog[@["&amp;status_col&amp;"]:["&amp;status_col&amp;"]]")="Risk -"</formula>
    </cfRule>
  </conditionalFormatting>
  <conditionalFormatting sqref="C9:K17">
    <cfRule type="expression" dxfId="77" priority="2">
      <formula>INDIRECT("tblLog[@["&amp;status_col&amp;"]:["&amp;status_col&amp;"]]")="Inactive"</formula>
    </cfRule>
    <cfRule type="expression" dxfId="76" priority="4">
      <formula>INDIRECT("tblLog[@["&amp;status_col&amp;"]:["&amp;status_col&amp;"]]")="Complete"</formula>
    </cfRule>
    <cfRule type="expression" dxfId="75" priority="53" stopIfTrue="1">
      <formula>MOD(INDIRECT("tblLog[@["&amp;task_number_col&amp;"]:["&amp;task_number_col&amp;"]]"),INT(INDIRECT("tblLog[@["&amp;task_number_col&amp;"]:["&amp;task_number_col&amp;"]]")))=0</formula>
    </cfRule>
  </conditionalFormatting>
  <dataValidations count="2">
    <dataValidation type="list" allowBlank="1" showInputMessage="1" showErrorMessage="1" sqref="D9:D17">
      <formula1>status_list</formula1>
    </dataValidation>
    <dataValidation type="list" allowBlank="1" showInputMessage="1" showErrorMessage="1" sqref="C9:C17">
      <formula1>type_list</formula1>
    </dataValidation>
  </dataValidations>
  <printOptions horizontalCentered="1"/>
  <pageMargins left="0.25" right="0.25" top="0.25" bottom="0.25" header="0" footer="0.3"/>
  <pageSetup scale="62" fitToHeight="9" orientation="landscape" r:id="rId1"/>
  <headerFooter>
    <oddFooter>&amp;CPage &amp;P of &amp;N&amp;RPrinted: &amp;D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33"/>
  <sheetViews>
    <sheetView zoomScaleNormal="100" workbookViewId="0">
      <selection activeCell="F26" sqref="F26"/>
    </sheetView>
  </sheetViews>
  <sheetFormatPr defaultRowHeight="15" x14ac:dyDescent="0.25"/>
  <cols>
    <col min="2" max="2" width="35" customWidth="1"/>
    <col min="3" max="3" width="5.28515625" customWidth="1"/>
    <col min="4" max="4" width="15.28515625" customWidth="1"/>
    <col min="5" max="5" width="5" customWidth="1"/>
    <col min="6" max="6" width="10.7109375" bestFit="1" customWidth="1"/>
    <col min="7" max="7" width="20.5703125" bestFit="1" customWidth="1"/>
    <col min="9" max="9" width="31.140625" bestFit="1" customWidth="1"/>
    <col min="10" max="10" width="8.42578125" customWidth="1"/>
    <col min="11" max="11" width="8.5703125" bestFit="1" customWidth="1"/>
    <col min="14" max="14" width="9.85546875" bestFit="1" customWidth="1"/>
    <col min="15" max="15" width="10" customWidth="1"/>
  </cols>
  <sheetData>
    <row r="1" spans="2:11" x14ac:dyDescent="0.25">
      <c r="I1" s="63" t="s">
        <v>79</v>
      </c>
      <c r="J1" s="64"/>
      <c r="K1" s="65"/>
    </row>
    <row r="2" spans="2:11" x14ac:dyDescent="0.25">
      <c r="B2" t="s">
        <v>0</v>
      </c>
      <c r="D2" t="s">
        <v>5</v>
      </c>
      <c r="F2" t="s">
        <v>110</v>
      </c>
      <c r="G2" t="s">
        <v>85</v>
      </c>
      <c r="I2" s="1" t="s">
        <v>99</v>
      </c>
      <c r="J2" s="25" t="s">
        <v>87</v>
      </c>
      <c r="K2" s="25" t="s">
        <v>88</v>
      </c>
    </row>
    <row r="3" spans="2:11" x14ac:dyDescent="0.25">
      <c r="B3" s="1" t="s">
        <v>1</v>
      </c>
      <c r="D3" t="s">
        <v>57</v>
      </c>
      <c r="F3" t="s">
        <v>90</v>
      </c>
      <c r="G3" t="s">
        <v>87</v>
      </c>
      <c r="I3" s="1" t="s">
        <v>59</v>
      </c>
      <c r="J3" s="1">
        <f>COUNTIFS(tblLog[Group],Reference!$F$3)</f>
        <v>7</v>
      </c>
      <c r="K3" s="1">
        <f>COUNTIFS(tblLog[Group],Reference!$F$4)</f>
        <v>2</v>
      </c>
    </row>
    <row r="4" spans="2:11" x14ac:dyDescent="0.25">
      <c r="B4" s="1" t="s">
        <v>2</v>
      </c>
      <c r="D4" t="s">
        <v>58</v>
      </c>
      <c r="F4" t="s">
        <v>91</v>
      </c>
      <c r="G4" t="s">
        <v>88</v>
      </c>
      <c r="I4" s="1" t="s">
        <v>2</v>
      </c>
      <c r="J4" s="1">
        <f>COUNTIFS(tblLog[Group],Reference!$F$3,tblLog[Status],I4)</f>
        <v>1</v>
      </c>
      <c r="K4" s="1">
        <f>COUNTIFS(tblLog[Group],Reference!$F$4,tblLog[Status],I4)</f>
        <v>0</v>
      </c>
    </row>
    <row r="5" spans="2:11" x14ac:dyDescent="0.25">
      <c r="B5" s="1" t="s">
        <v>4</v>
      </c>
      <c r="I5" s="1" t="s">
        <v>1</v>
      </c>
      <c r="J5" s="1">
        <f>COUNTIFS(tblLog[Group],Reference!$F$3,tblLog[Status],I5)</f>
        <v>4</v>
      </c>
      <c r="K5" s="1">
        <f>COUNTIFS(tblLog[Group],Reference!$F$4,tblLog[Status],I5)</f>
        <v>0</v>
      </c>
    </row>
    <row r="6" spans="2:11" x14ac:dyDescent="0.25">
      <c r="B6" s="1" t="s">
        <v>65</v>
      </c>
      <c r="I6" s="1" t="s">
        <v>4</v>
      </c>
      <c r="J6" s="1">
        <f>COUNTIFS(tblLog[Group],Reference!$F$3,tblLog[Status],I6)</f>
        <v>1</v>
      </c>
      <c r="K6" s="1">
        <f>COUNTIFS(tblLog[Group],Reference!$F$4,tblLog[Status],I6)</f>
        <v>0</v>
      </c>
    </row>
    <row r="7" spans="2:11" x14ac:dyDescent="0.25">
      <c r="B7" s="1" t="s">
        <v>111</v>
      </c>
      <c r="I7" s="1" t="s">
        <v>71</v>
      </c>
      <c r="J7" s="1">
        <v>3</v>
      </c>
      <c r="K7" s="1">
        <v>1</v>
      </c>
    </row>
    <row r="8" spans="2:11" x14ac:dyDescent="0.25">
      <c r="B8" s="1" t="s">
        <v>112</v>
      </c>
      <c r="I8" s="1"/>
    </row>
    <row r="10" spans="2:11" x14ac:dyDescent="0.25">
      <c r="K10" s="2"/>
    </row>
    <row r="12" spans="2:11" ht="45" x14ac:dyDescent="0.25">
      <c r="B12" s="3" t="s">
        <v>98</v>
      </c>
      <c r="C12" t="s">
        <v>92</v>
      </c>
    </row>
    <row r="13" spans="2:11" x14ac:dyDescent="0.25">
      <c r="B13" t="s">
        <v>60</v>
      </c>
      <c r="C13" t="s">
        <v>94</v>
      </c>
    </row>
    <row r="14" spans="2:11" x14ac:dyDescent="0.25">
      <c r="B14" t="s">
        <v>3</v>
      </c>
      <c r="C14" t="s">
        <v>95</v>
      </c>
    </row>
    <row r="15" spans="2:11" x14ac:dyDescent="0.25">
      <c r="B15" t="s">
        <v>109</v>
      </c>
      <c r="C15" t="s">
        <v>96</v>
      </c>
    </row>
    <row r="16" spans="2:11" x14ac:dyDescent="0.25">
      <c r="B16" t="s">
        <v>63</v>
      </c>
      <c r="C16" t="s">
        <v>93</v>
      </c>
      <c r="I16" s="7"/>
      <c r="J16" s="7"/>
      <c r="K16" s="7"/>
    </row>
    <row r="17" spans="2:11" x14ac:dyDescent="0.25">
      <c r="K17" s="31"/>
    </row>
    <row r="18" spans="2:11" ht="15.75" thickBot="1" x14ac:dyDescent="0.3">
      <c r="K18" s="7"/>
    </row>
    <row r="19" spans="2:11" ht="45.75" thickBot="1" x14ac:dyDescent="0.3">
      <c r="B19" s="61" t="s">
        <v>80</v>
      </c>
      <c r="C19" s="62"/>
      <c r="F19" s="41" t="s">
        <v>104</v>
      </c>
      <c r="G19" s="25"/>
      <c r="H19" s="35"/>
      <c r="K19" s="7"/>
    </row>
    <row r="20" spans="2:11" x14ac:dyDescent="0.25">
      <c r="B20" s="27" t="s">
        <v>74</v>
      </c>
      <c r="C20" s="33" t="s">
        <v>89</v>
      </c>
      <c r="F20" s="1" t="s">
        <v>105</v>
      </c>
      <c r="G20" s="1" t="s">
        <v>106</v>
      </c>
      <c r="H20" s="1" t="s">
        <v>107</v>
      </c>
    </row>
    <row r="21" spans="2:11" ht="15.75" thickBot="1" x14ac:dyDescent="0.3">
      <c r="B21" s="29" t="s">
        <v>73</v>
      </c>
      <c r="C21" s="32">
        <f ca="1">COLUMN(INDIRECT(C20&amp;"1"))-1</f>
        <v>11</v>
      </c>
      <c r="F21" s="42">
        <v>42552</v>
      </c>
      <c r="G21" s="1" t="s">
        <v>108</v>
      </c>
      <c r="H21">
        <f>WEEKNUM(tblGnattAlert[[#This Row],[Date]])</f>
        <v>27</v>
      </c>
    </row>
    <row r="22" spans="2:11" ht="15.75" thickBot="1" x14ac:dyDescent="0.3">
      <c r="F22" s="42">
        <v>42555</v>
      </c>
      <c r="G22" s="1" t="s">
        <v>108</v>
      </c>
      <c r="H22" s="43">
        <f>WEEKNUM(tblGnattAlert[[#This Row],[Date]])</f>
        <v>28</v>
      </c>
    </row>
    <row r="23" spans="2:11" ht="15.75" thickBot="1" x14ac:dyDescent="0.3">
      <c r="B23" s="61" t="s">
        <v>97</v>
      </c>
      <c r="C23" s="62"/>
    </row>
    <row r="24" spans="2:11" x14ac:dyDescent="0.25">
      <c r="B24" s="27"/>
      <c r="C24" s="28" t="s">
        <v>61</v>
      </c>
    </row>
    <row r="25" spans="2:11" x14ac:dyDescent="0.25">
      <c r="B25" s="27" t="s">
        <v>1</v>
      </c>
      <c r="C25" s="28">
        <v>0</v>
      </c>
    </row>
    <row r="26" spans="2:11" x14ac:dyDescent="0.25">
      <c r="B26" s="27" t="s">
        <v>83</v>
      </c>
      <c r="C26" s="28">
        <v>0</v>
      </c>
    </row>
    <row r="27" spans="2:11" x14ac:dyDescent="0.25">
      <c r="B27" s="27" t="s">
        <v>65</v>
      </c>
      <c r="C27" s="28">
        <v>0</v>
      </c>
    </row>
    <row r="28" spans="2:11" x14ac:dyDescent="0.25">
      <c r="B28" s="27" t="s">
        <v>2</v>
      </c>
      <c r="C28" s="28">
        <v>0</v>
      </c>
    </row>
    <row r="29" spans="2:11" ht="15.75" thickBot="1" x14ac:dyDescent="0.3">
      <c r="B29" s="29" t="s">
        <v>4</v>
      </c>
      <c r="C29" s="30">
        <v>0</v>
      </c>
    </row>
    <row r="30" spans="2:11" ht="15.75" thickBot="1" x14ac:dyDescent="0.3"/>
    <row r="31" spans="2:11" ht="15.75" thickBot="1" x14ac:dyDescent="0.3">
      <c r="B31" s="61" t="s">
        <v>100</v>
      </c>
      <c r="C31" s="62"/>
    </row>
    <row r="32" spans="2:11" x14ac:dyDescent="0.25">
      <c r="B32" s="34" t="s">
        <v>101</v>
      </c>
      <c r="C32" s="35">
        <f ca="1">TODAY()</f>
        <v>42691</v>
      </c>
    </row>
    <row r="33" spans="2:3" x14ac:dyDescent="0.25">
      <c r="B33" s="34" t="s">
        <v>102</v>
      </c>
      <c r="C33">
        <v>2016</v>
      </c>
    </row>
  </sheetData>
  <mergeCells count="4">
    <mergeCell ref="B19:C19"/>
    <mergeCell ref="B23:C23"/>
    <mergeCell ref="I1:K1"/>
    <mergeCell ref="B31:C31"/>
  </mergeCells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Log</vt:lpstr>
      <vt:lpstr>Reference</vt:lpstr>
      <vt:lpstr>end_date_col</vt:lpstr>
      <vt:lpstr>gantt_alerts</vt:lpstr>
      <vt:lpstr>Log!Print_Titles</vt:lpstr>
      <vt:lpstr>responsibility_list</vt:lpstr>
      <vt:lpstr>start_date_col</vt:lpstr>
      <vt:lpstr>status_col</vt:lpstr>
      <vt:lpstr>task_number_col</vt:lpstr>
      <vt:lpstr>today</vt:lpstr>
      <vt:lpstr>week_offset</vt:lpstr>
      <vt:lpstr>year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Rollins</dc:creator>
  <cp:lastModifiedBy>Travis Rollins</cp:lastModifiedBy>
  <cp:lastPrinted>2016-03-23T21:00:01Z</cp:lastPrinted>
  <dcterms:created xsi:type="dcterms:W3CDTF">2016-03-15T16:05:30Z</dcterms:created>
  <dcterms:modified xsi:type="dcterms:W3CDTF">2016-11-17T17:28:46Z</dcterms:modified>
</cp:coreProperties>
</file>